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TFG\ReactorApp toolbox\"/>
    </mc:Choice>
  </mc:AlternateContent>
  <xr:revisionPtr revIDLastSave="0" documentId="13_ncr:1_{32E53251-53B6-43E5-AA41-84FEFC92AF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B20" i="1"/>
  <c r="A16" i="1"/>
  <c r="B16" i="1"/>
  <c r="A17" i="1"/>
  <c r="B17" i="1"/>
  <c r="A18" i="1"/>
  <c r="B18" i="1"/>
  <c r="A19" i="1"/>
  <c r="B19" i="1"/>
  <c r="O4" i="1"/>
  <c r="O5" i="1" s="1"/>
  <c r="O6" i="1" s="1"/>
  <c r="B15" i="1"/>
  <c r="B3" i="1"/>
  <c r="B4" i="1"/>
  <c r="B5" i="1"/>
  <c r="B6" i="1"/>
  <c r="B7" i="1"/>
  <c r="B8" i="1"/>
  <c r="B9" i="1"/>
  <c r="B10" i="1"/>
  <c r="B11" i="1"/>
  <c r="B12" i="1"/>
  <c r="B13" i="1"/>
  <c r="B14" i="1"/>
  <c r="B2" i="1"/>
  <c r="A3" i="1"/>
  <c r="A4" i="1"/>
  <c r="A14" i="1"/>
  <c r="A2" i="1"/>
  <c r="A15" i="1" l="1"/>
  <c r="O7" i="1"/>
  <c r="A5" i="1"/>
  <c r="O8" i="1" l="1"/>
  <c r="A6" i="1"/>
  <c r="O9" i="1" l="1"/>
  <c r="A7" i="1"/>
  <c r="O10" i="1" l="1"/>
  <c r="A8" i="1"/>
  <c r="O11" i="1" l="1"/>
  <c r="A9" i="1"/>
  <c r="O12" i="1" l="1"/>
  <c r="A10" i="1"/>
  <c r="O13" i="1" l="1"/>
  <c r="A11" i="1"/>
  <c r="O14" i="1" l="1"/>
  <c r="A12" i="1"/>
  <c r="A13" i="1" l="1"/>
  <c r="O15" i="1"/>
  <c r="O16" i="1" s="1"/>
  <c r="O17" i="1" s="1"/>
  <c r="O18" i="1" s="1"/>
  <c r="O19" i="1" s="1"/>
  <c r="O20" i="1" s="1"/>
  <c r="O21" i="1" s="1"/>
</calcChain>
</file>

<file path=xl/sharedStrings.xml><?xml version="1.0" encoding="utf-8"?>
<sst xmlns="http://schemas.openxmlformats.org/spreadsheetml/2006/main" count="11" uniqueCount="3">
  <si>
    <t>t(min)</t>
  </si>
  <si>
    <t>C(mg/L)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</si>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</sst>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D7" sqref="D7"/>
    </sheetView>
  </sheetViews>
  <sheetFormatPr baseColWidth="10" defaultColWidth="9.140625" defaultRowHeight="15" x14ac:dyDescent="0.25"/>
  <sheetData>
    <row r="1" spans="1:16" ht="15.75" thickBot="1" x14ac:dyDescent="0.3">
      <c r="A1" s="1" t="s">
        <v>0</v>
      </c>
      <c r="B1" s="1" t="s">
        <v>1</v>
      </c>
      <c r="F1" s="2">
        <v>52</v>
      </c>
      <c r="G1" s="2">
        <v>52</v>
      </c>
      <c r="H1" s="2"/>
      <c r="I1" s="2">
        <v>54</v>
      </c>
      <c r="J1" s="2">
        <v>54</v>
      </c>
      <c r="K1" s="2"/>
      <c r="L1" s="2">
        <v>55</v>
      </c>
      <c r="M1" s="2">
        <v>55</v>
      </c>
      <c r="O1" s="2">
        <v>60</v>
      </c>
      <c r="P1" s="2">
        <v>60</v>
      </c>
    </row>
    <row r="2" spans="1:16" ht="15.75" thickBot="1" x14ac:dyDescent="0.3">
      <c r="A2">
        <f t="shared" ref="A2:A14" si="0">_xlfn.XLOOKUP($D$3,$1:$1,3:3,"no",0,1)</f>
        <v>0</v>
      </c>
      <c r="B2">
        <f t="shared" ref="B2:B14" si="1">_xlfn.XLOOKUP($D$3,$1:$1,3:3,"no",0,-1)</f>
        <v>112</v>
      </c>
      <c r="D2" s="4" t="s">
        <v>2</v>
      </c>
      <c r="E2" s="1"/>
      <c r="F2" s="2" t="s">
        <v>0</v>
      </c>
      <c r="G2" s="2" t="s">
        <v>1</v>
      </c>
      <c r="H2" s="2"/>
      <c r="I2" s="2" t="s">
        <v>0</v>
      </c>
      <c r="J2" s="2" t="s">
        <v>1</v>
      </c>
      <c r="K2" s="2"/>
      <c r="L2" s="2" t="s">
        <v>0</v>
      </c>
      <c r="M2" s="2" t="s">
        <v>1</v>
      </c>
      <c r="O2" s="2" t="s">
        <v>0</v>
      </c>
      <c r="P2" s="2" t="s">
        <v>1</v>
      </c>
    </row>
    <row r="3" spans="1:16" ht="15.75" thickBot="1" x14ac:dyDescent="0.3">
      <c r="A3">
        <f t="shared" si="0"/>
        <v>5</v>
      </c>
      <c r="B3">
        <f t="shared" si="1"/>
        <v>95.8</v>
      </c>
      <c r="D3" s="3">
        <v>52</v>
      </c>
      <c r="F3">
        <v>0</v>
      </c>
      <c r="G3">
        <v>112</v>
      </c>
      <c r="I3">
        <v>0</v>
      </c>
      <c r="J3">
        <v>0</v>
      </c>
      <c r="L3">
        <v>1</v>
      </c>
      <c r="M3">
        <v>9</v>
      </c>
      <c r="O3">
        <v>0</v>
      </c>
      <c r="P3">
        <v>0</v>
      </c>
    </row>
    <row r="4" spans="1:16" x14ac:dyDescent="0.25">
      <c r="A4">
        <f t="shared" si="0"/>
        <v>10</v>
      </c>
      <c r="B4">
        <f t="shared" si="1"/>
        <v>82.2</v>
      </c>
      <c r="F4">
        <v>5</v>
      </c>
      <c r="G4">
        <v>95.8</v>
      </c>
      <c r="I4">
        <v>1</v>
      </c>
      <c r="J4">
        <v>1</v>
      </c>
      <c r="L4">
        <v>2</v>
      </c>
      <c r="M4">
        <v>35</v>
      </c>
      <c r="O4">
        <f>+O3+1</f>
        <v>1</v>
      </c>
      <c r="P4">
        <v>0</v>
      </c>
    </row>
    <row r="5" spans="1:16" x14ac:dyDescent="0.25">
      <c r="A5">
        <f t="shared" si="0"/>
        <v>15</v>
      </c>
      <c r="B5">
        <f t="shared" si="1"/>
        <v>70.599999999999994</v>
      </c>
      <c r="F5">
        <v>10</v>
      </c>
      <c r="G5">
        <v>82.2</v>
      </c>
      <c r="I5">
        <v>2</v>
      </c>
      <c r="J5">
        <v>5</v>
      </c>
      <c r="L5">
        <v>3</v>
      </c>
      <c r="M5">
        <v>52</v>
      </c>
      <c r="O5">
        <f t="shared" ref="O5:O21" si="2">+O4+1</f>
        <v>2</v>
      </c>
      <c r="P5">
        <v>0</v>
      </c>
    </row>
    <row r="6" spans="1:16" x14ac:dyDescent="0.25">
      <c r="A6">
        <f t="shared" si="0"/>
        <v>20</v>
      </c>
      <c r="B6">
        <f t="shared" si="1"/>
        <v>60.9</v>
      </c>
      <c r="F6">
        <v>15</v>
      </c>
      <c r="G6">
        <v>70.599999999999994</v>
      </c>
      <c r="I6">
        <v>3</v>
      </c>
      <c r="J6">
        <v>8</v>
      </c>
      <c r="L6">
        <v>4</v>
      </c>
      <c r="M6">
        <v>65</v>
      </c>
      <c r="O6">
        <f t="shared" si="2"/>
        <v>3</v>
      </c>
      <c r="P6">
        <v>0</v>
      </c>
    </row>
    <row r="7" spans="1:16" x14ac:dyDescent="0.25">
      <c r="A7">
        <f t="shared" si="0"/>
        <v>30</v>
      </c>
      <c r="B7">
        <f t="shared" si="1"/>
        <v>45.6</v>
      </c>
      <c r="F7">
        <v>20</v>
      </c>
      <c r="G7">
        <v>60.9</v>
      </c>
      <c r="I7">
        <v>4</v>
      </c>
      <c r="J7">
        <v>10</v>
      </c>
      <c r="L7">
        <v>5</v>
      </c>
      <c r="M7">
        <v>82</v>
      </c>
      <c r="O7">
        <f t="shared" si="2"/>
        <v>4</v>
      </c>
      <c r="P7">
        <v>0</v>
      </c>
    </row>
    <row r="8" spans="1:16" x14ac:dyDescent="0.25">
      <c r="A8">
        <f t="shared" si="0"/>
        <v>40</v>
      </c>
      <c r="B8">
        <f t="shared" si="1"/>
        <v>34.5</v>
      </c>
      <c r="F8">
        <v>30</v>
      </c>
      <c r="G8">
        <v>45.6</v>
      </c>
      <c r="I8">
        <v>5</v>
      </c>
      <c r="J8">
        <v>8</v>
      </c>
      <c r="L8">
        <v>6</v>
      </c>
      <c r="M8">
        <v>77</v>
      </c>
      <c r="O8">
        <f t="shared" si="2"/>
        <v>5</v>
      </c>
      <c r="P8">
        <v>10</v>
      </c>
    </row>
    <row r="9" spans="1:16" x14ac:dyDescent="0.25">
      <c r="A9">
        <f t="shared" si="0"/>
        <v>50</v>
      </c>
      <c r="B9">
        <f t="shared" si="1"/>
        <v>26.3</v>
      </c>
      <c r="F9">
        <v>40</v>
      </c>
      <c r="G9">
        <v>34.5</v>
      </c>
      <c r="I9">
        <v>6</v>
      </c>
      <c r="J9">
        <v>6</v>
      </c>
      <c r="L9">
        <v>8</v>
      </c>
      <c r="M9">
        <v>70</v>
      </c>
      <c r="O9">
        <f t="shared" si="2"/>
        <v>6</v>
      </c>
      <c r="P9">
        <v>190</v>
      </c>
    </row>
    <row r="10" spans="1:16" x14ac:dyDescent="0.25">
      <c r="A10">
        <f t="shared" si="0"/>
        <v>70</v>
      </c>
      <c r="B10">
        <f t="shared" si="1"/>
        <v>15.7</v>
      </c>
      <c r="F10">
        <v>50</v>
      </c>
      <c r="G10">
        <v>26.3</v>
      </c>
      <c r="I10">
        <v>7</v>
      </c>
      <c r="J10">
        <v>4</v>
      </c>
      <c r="L10">
        <v>10</v>
      </c>
      <c r="M10">
        <v>56</v>
      </c>
      <c r="O10">
        <f t="shared" si="2"/>
        <v>7</v>
      </c>
      <c r="P10">
        <v>161.5</v>
      </c>
    </row>
    <row r="11" spans="1:16" x14ac:dyDescent="0.25">
      <c r="A11">
        <f t="shared" si="0"/>
        <v>100</v>
      </c>
      <c r="B11">
        <f t="shared" si="1"/>
        <v>7.67</v>
      </c>
      <c r="F11">
        <v>70</v>
      </c>
      <c r="G11">
        <v>15.7</v>
      </c>
      <c r="I11">
        <v>8</v>
      </c>
      <c r="J11">
        <v>3</v>
      </c>
      <c r="L11">
        <v>15</v>
      </c>
      <c r="M11">
        <v>47</v>
      </c>
      <c r="O11">
        <f t="shared" si="2"/>
        <v>8</v>
      </c>
      <c r="P11">
        <v>123.5</v>
      </c>
    </row>
    <row r="12" spans="1:16" x14ac:dyDescent="0.25">
      <c r="A12">
        <f t="shared" si="0"/>
        <v>125</v>
      </c>
      <c r="B12">
        <f t="shared" si="1"/>
        <v>5.1100000000000003</v>
      </c>
      <c r="F12">
        <v>100</v>
      </c>
      <c r="G12">
        <v>7.67</v>
      </c>
      <c r="I12">
        <v>9</v>
      </c>
      <c r="J12">
        <v>2.2000000000000002</v>
      </c>
      <c r="L12">
        <v>20</v>
      </c>
      <c r="M12">
        <v>32</v>
      </c>
      <c r="O12">
        <f t="shared" si="2"/>
        <v>9</v>
      </c>
      <c r="P12">
        <v>95</v>
      </c>
    </row>
    <row r="13" spans="1:16" x14ac:dyDescent="0.25">
      <c r="A13">
        <f t="shared" si="0"/>
        <v>150</v>
      </c>
      <c r="B13">
        <f t="shared" si="1"/>
        <v>2.5499999999999998</v>
      </c>
      <c r="F13">
        <v>125</v>
      </c>
      <c r="G13">
        <v>5.1100000000000003</v>
      </c>
      <c r="I13">
        <v>10</v>
      </c>
      <c r="J13">
        <v>1.5</v>
      </c>
      <c r="L13">
        <v>30</v>
      </c>
      <c r="M13">
        <v>15</v>
      </c>
      <c r="O13">
        <f t="shared" si="2"/>
        <v>10</v>
      </c>
      <c r="P13">
        <v>76</v>
      </c>
    </row>
    <row r="14" spans="1:16" x14ac:dyDescent="0.25">
      <c r="A14">
        <f t="shared" si="0"/>
        <v>175</v>
      </c>
      <c r="B14">
        <f t="shared" si="1"/>
        <v>1.73</v>
      </c>
      <c r="F14">
        <v>150</v>
      </c>
      <c r="G14">
        <v>2.5499999999999998</v>
      </c>
      <c r="I14">
        <v>12</v>
      </c>
      <c r="J14">
        <v>0.6</v>
      </c>
      <c r="L14">
        <v>41</v>
      </c>
      <c r="M14">
        <v>7</v>
      </c>
      <c r="O14">
        <f t="shared" si="2"/>
        <v>11</v>
      </c>
      <c r="P14">
        <v>58.9</v>
      </c>
    </row>
    <row r="15" spans="1:16" x14ac:dyDescent="0.25">
      <c r="A15">
        <f t="shared" ref="A15:A20" si="3">IF(_xlfn.XLOOKUP($D$3,$1:$1,16:16,"no",0,1)=0,"",_xlfn.XLOOKUP($D$3,$1:$1,16:16,"no",0,1))</f>
        <v>200</v>
      </c>
      <c r="B15">
        <f t="shared" ref="B15:B20" si="4">IF(_xlfn.XLOOKUP($D$3,$1:$1,16:16,"no",0,-1)=0,"",_xlfn.XLOOKUP($D$3,$1:$1,16:16,"no",0,-1))</f>
        <v>0.9</v>
      </c>
      <c r="F15">
        <v>175</v>
      </c>
      <c r="G15">
        <v>1.73</v>
      </c>
      <c r="I15">
        <v>14</v>
      </c>
      <c r="J15">
        <v>0</v>
      </c>
      <c r="L15">
        <v>52</v>
      </c>
      <c r="M15">
        <v>3</v>
      </c>
      <c r="O15">
        <f>+O14+1</f>
        <v>12</v>
      </c>
      <c r="P15">
        <v>43.7</v>
      </c>
    </row>
    <row r="16" spans="1:16" x14ac:dyDescent="0.25">
      <c r="A16" t="str">
        <f t="shared" si="3"/>
        <v/>
      </c>
      <c r="B16" t="str">
        <f t="shared" si="4"/>
        <v/>
      </c>
      <c r="F16">
        <v>200</v>
      </c>
      <c r="G16">
        <v>0.9</v>
      </c>
      <c r="O16">
        <f t="shared" si="2"/>
        <v>13</v>
      </c>
      <c r="P16">
        <v>20.9</v>
      </c>
    </row>
    <row r="17" spans="1:16" x14ac:dyDescent="0.25">
      <c r="A17" t="str">
        <f t="shared" si="3"/>
        <v/>
      </c>
      <c r="B17" t="str">
        <f t="shared" si="4"/>
        <v/>
      </c>
      <c r="O17">
        <f t="shared" si="2"/>
        <v>14</v>
      </c>
      <c r="P17">
        <v>7.6</v>
      </c>
    </row>
    <row r="18" spans="1:16" x14ac:dyDescent="0.25">
      <c r="A18" t="str">
        <f t="shared" si="3"/>
        <v/>
      </c>
      <c r="B18" t="str">
        <f t="shared" si="4"/>
        <v/>
      </c>
      <c r="O18">
        <f t="shared" si="2"/>
        <v>15</v>
      </c>
      <c r="P18">
        <v>1.9</v>
      </c>
    </row>
    <row r="19" spans="1:16" x14ac:dyDescent="0.25">
      <c r="A19" t="str">
        <f t="shared" si="3"/>
        <v/>
      </c>
      <c r="B19" t="str">
        <f t="shared" si="4"/>
        <v/>
      </c>
      <c r="O19">
        <f t="shared" si="2"/>
        <v>16</v>
      </c>
      <c r="P19">
        <v>0.38</v>
      </c>
    </row>
    <row r="20" spans="1:16" x14ac:dyDescent="0.25">
      <c r="A20" t="str">
        <f t="shared" si="3"/>
        <v/>
      </c>
      <c r="B20" t="str">
        <f t="shared" si="4"/>
        <v/>
      </c>
      <c r="O20">
        <f t="shared" si="2"/>
        <v>17</v>
      </c>
      <c r="P20">
        <v>9.5000000000000001E-2</v>
      </c>
    </row>
    <row r="21" spans="1:16" x14ac:dyDescent="0.25">
      <c r="O21">
        <f t="shared" si="2"/>
        <v>18</v>
      </c>
      <c r="P21">
        <v>1.9E-3</v>
      </c>
    </row>
  </sheetData>
  <dataValidations count="1">
    <dataValidation type="list" allowBlank="1" showInputMessage="1" showErrorMessage="1" sqref="E2 D3" xr:uid="{8F165B2B-D0AA-4942-AF62-D2F5677EDBF9}">
      <formula1>$1:$1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Berenguer Sabater</dc:creator>
  <cp:lastModifiedBy>Javier Berenguer Sabater</cp:lastModifiedBy>
  <dcterms:created xsi:type="dcterms:W3CDTF">2015-06-05T18:19:34Z</dcterms:created>
  <dcterms:modified xsi:type="dcterms:W3CDTF">2026-06-02T06:17:48Z</dcterms:modified>
</cp:coreProperties>
</file>