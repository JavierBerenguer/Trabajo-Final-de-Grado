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00B0EF74-8274-4674-8068-13F57507E4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" l="1"/>
  <c r="B21" i="1"/>
  <c r="A22" i="1"/>
  <c r="B22" i="1"/>
  <c r="A23" i="1"/>
  <c r="B23" i="1"/>
  <c r="A20" i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<sst xmlns="http://schemas.openxmlformats.org/spreadsheetml/2006/main" count="15" uniqueCount="3">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</sst>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4"/>
  <sheetViews>
    <sheetView tabSelected="1" workbookViewId="0">
      <selection activeCell="D3" sqref="D3"/>
    </sheetView>
  </sheetViews>
  <sheetFormatPr baseColWidth="10" defaultColWidth="9.140625" defaultRowHeight="15" x14ac:dyDescent="0.25"/>
  <sheetData>
    <row r="1" spans="1:22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  <c r="R1" s="2">
        <v>62</v>
      </c>
      <c r="S1" s="2">
        <v>62</v>
      </c>
      <c r="U1" s="2">
        <v>64</v>
      </c>
      <c r="V1" s="2">
        <v>64</v>
      </c>
    </row>
    <row r="2" spans="1:22" ht="15.75" thickBot="1" x14ac:dyDescent="0.3">
      <c r="A2">
        <f t="shared" ref="A2:A14" si="0">_xlfn.XLOOKUP($D$3,$1:$1,3:3,"no",0,1)</f>
        <v>0</v>
      </c>
      <c r="B2">
        <f t="shared" ref="B2:B14" si="1">_xlfn.XLOOKUP($D$3,$1:$1,3:3,"no",0,-1)</f>
        <v>15.37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  <c r="R2" s="2" t="s">
        <v>0</v>
      </c>
      <c r="S2" s="2" t="s">
        <v>1</v>
      </c>
      <c r="U2" s="2" t="s">
        <v>0</v>
      </c>
      <c r="V2" s="2" t="s">
        <v>1</v>
      </c>
    </row>
    <row r="3" spans="1:22" ht="15.75" thickBot="1" x14ac:dyDescent="0.3">
      <c r="A3">
        <f t="shared" si="0"/>
        <v>0.4</v>
      </c>
      <c r="B3">
        <f t="shared" si="1"/>
        <v>15.1</v>
      </c>
      <c r="D3" s="3">
        <v>64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  <c r="R3">
        <v>0</v>
      </c>
      <c r="S3">
        <v>0</v>
      </c>
      <c r="U3">
        <v>0</v>
      </c>
      <c r="V3">
        <v>15.37</v>
      </c>
    </row>
    <row r="4" spans="1:22" x14ac:dyDescent="0.25">
      <c r="A4">
        <f t="shared" si="0"/>
        <v>0.8</v>
      </c>
      <c r="B4">
        <f t="shared" si="1"/>
        <v>12.15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  <c r="R4">
        <v>0.5</v>
      </c>
      <c r="S4">
        <v>60</v>
      </c>
      <c r="U4">
        <v>0.4</v>
      </c>
      <c r="V4">
        <v>15.1</v>
      </c>
    </row>
    <row r="5" spans="1:22" x14ac:dyDescent="0.25">
      <c r="A5">
        <f t="shared" si="0"/>
        <v>1.2</v>
      </c>
      <c r="B5">
        <f t="shared" si="1"/>
        <v>11.93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2">+O4+1</f>
        <v>2</v>
      </c>
      <c r="P5">
        <v>0</v>
      </c>
      <c r="R5">
        <v>1</v>
      </c>
      <c r="S5">
        <v>70</v>
      </c>
      <c r="U5">
        <v>0.8</v>
      </c>
      <c r="V5">
        <v>12.15</v>
      </c>
    </row>
    <row r="6" spans="1:22" x14ac:dyDescent="0.25">
      <c r="A6">
        <f t="shared" si="0"/>
        <v>1.6</v>
      </c>
      <c r="B6">
        <f t="shared" si="1"/>
        <v>9.6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2"/>
        <v>3</v>
      </c>
      <c r="P6">
        <v>0</v>
      </c>
      <c r="R6">
        <v>1.5</v>
      </c>
      <c r="S6">
        <v>86</v>
      </c>
      <c r="U6">
        <v>1.2</v>
      </c>
      <c r="V6">
        <v>11.93</v>
      </c>
    </row>
    <row r="7" spans="1:22" x14ac:dyDescent="0.25">
      <c r="A7">
        <f t="shared" si="0"/>
        <v>2</v>
      </c>
      <c r="B7">
        <f t="shared" si="1"/>
        <v>9.43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2"/>
        <v>4</v>
      </c>
      <c r="P7">
        <v>0</v>
      </c>
      <c r="R7">
        <v>2</v>
      </c>
      <c r="S7">
        <v>91</v>
      </c>
      <c r="U7">
        <v>1.6</v>
      </c>
      <c r="V7">
        <v>9.6</v>
      </c>
    </row>
    <row r="8" spans="1:22" x14ac:dyDescent="0.25">
      <c r="A8">
        <f t="shared" si="0"/>
        <v>2.4</v>
      </c>
      <c r="B8">
        <f t="shared" si="1"/>
        <v>7.59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2"/>
        <v>5</v>
      </c>
      <c r="P8">
        <v>10</v>
      </c>
      <c r="R8">
        <v>2.5</v>
      </c>
      <c r="S8">
        <v>84</v>
      </c>
      <c r="U8">
        <v>2</v>
      </c>
      <c r="V8">
        <v>9.43</v>
      </c>
    </row>
    <row r="9" spans="1:22" x14ac:dyDescent="0.25">
      <c r="A9">
        <f t="shared" si="0"/>
        <v>2.8</v>
      </c>
      <c r="B9">
        <f t="shared" si="1"/>
        <v>7.46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2"/>
        <v>6</v>
      </c>
      <c r="P9">
        <v>190</v>
      </c>
      <c r="R9">
        <v>3</v>
      </c>
      <c r="S9">
        <v>78</v>
      </c>
      <c r="U9">
        <v>2.4</v>
      </c>
      <c r="V9">
        <v>7.59</v>
      </c>
    </row>
    <row r="10" spans="1:22" x14ac:dyDescent="0.25">
      <c r="A10">
        <f t="shared" si="0"/>
        <v>3.2</v>
      </c>
      <c r="B10">
        <f t="shared" si="1"/>
        <v>6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2"/>
        <v>7</v>
      </c>
      <c r="P10">
        <v>161.5</v>
      </c>
      <c r="R10">
        <v>3.5</v>
      </c>
      <c r="S10">
        <v>76</v>
      </c>
      <c r="U10">
        <v>2.8</v>
      </c>
      <c r="V10">
        <v>7.46</v>
      </c>
    </row>
    <row r="11" spans="1:22" x14ac:dyDescent="0.25">
      <c r="A11">
        <f t="shared" si="0"/>
        <v>4</v>
      </c>
      <c r="B11">
        <f t="shared" si="1"/>
        <v>5.24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2"/>
        <v>8</v>
      </c>
      <c r="P11">
        <v>123.5</v>
      </c>
      <c r="R11">
        <v>4</v>
      </c>
      <c r="S11">
        <v>67</v>
      </c>
      <c r="U11">
        <v>3.2</v>
      </c>
      <c r="V11">
        <v>6</v>
      </c>
    </row>
    <row r="12" spans="1:22" x14ac:dyDescent="0.25">
      <c r="A12">
        <f t="shared" si="0"/>
        <v>4.8</v>
      </c>
      <c r="B12">
        <f t="shared" si="1"/>
        <v>3.75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2"/>
        <v>9</v>
      </c>
      <c r="P12">
        <v>95</v>
      </c>
      <c r="R12">
        <v>4.5</v>
      </c>
      <c r="S12">
        <v>57</v>
      </c>
      <c r="U12">
        <v>4</v>
      </c>
      <c r="V12">
        <v>5.24</v>
      </c>
    </row>
    <row r="13" spans="1:22" x14ac:dyDescent="0.25">
      <c r="A13">
        <f t="shared" si="0"/>
        <v>5.6</v>
      </c>
      <c r="B13">
        <f t="shared" si="1"/>
        <v>3.27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2"/>
        <v>10</v>
      </c>
      <c r="P13">
        <v>76</v>
      </c>
      <c r="R13">
        <v>5</v>
      </c>
      <c r="S13">
        <v>47</v>
      </c>
      <c r="U13">
        <v>4.8</v>
      </c>
      <c r="V13">
        <v>3.75</v>
      </c>
    </row>
    <row r="14" spans="1:22" x14ac:dyDescent="0.25">
      <c r="A14">
        <f t="shared" si="0"/>
        <v>5.8</v>
      </c>
      <c r="B14">
        <f t="shared" si="1"/>
        <v>2.08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2"/>
        <v>11</v>
      </c>
      <c r="P14">
        <v>58.9</v>
      </c>
      <c r="R14">
        <v>6</v>
      </c>
      <c r="S14">
        <v>36</v>
      </c>
      <c r="U14">
        <v>5.6</v>
      </c>
      <c r="V14">
        <v>3.27</v>
      </c>
    </row>
    <row r="15" spans="1:22" x14ac:dyDescent="0.25">
      <c r="A15">
        <f t="shared" ref="A15:A23" si="3">IF(_xlfn.XLOOKUP($D$3,$1:$1,16:16,"no",0,1)=0,"",_xlfn.XLOOKUP($D$3,$1:$1,16:16,"no",0,1))</f>
        <v>8</v>
      </c>
      <c r="B15">
        <f t="shared" ref="B15:B23" si="4">IF(_xlfn.XLOOKUP($D$3,$1:$1,16:16,"no",0,-1)=0,"",_xlfn.XLOOKUP($D$3,$1:$1,16:16,"no",0,-1))</f>
        <v>1.62</v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  <c r="R15">
        <v>7</v>
      </c>
      <c r="S15">
        <v>25</v>
      </c>
      <c r="U15">
        <v>5.8</v>
      </c>
      <c r="V15">
        <v>2.08</v>
      </c>
    </row>
    <row r="16" spans="1:22" x14ac:dyDescent="0.25">
      <c r="A16">
        <f t="shared" si="3"/>
        <v>9.1999999999999993</v>
      </c>
      <c r="B16">
        <f t="shared" si="4"/>
        <v>1.03</v>
      </c>
      <c r="F16">
        <v>200</v>
      </c>
      <c r="G16">
        <v>0.9</v>
      </c>
      <c r="O16">
        <f t="shared" si="2"/>
        <v>13</v>
      </c>
      <c r="P16">
        <v>20.9</v>
      </c>
      <c r="R16">
        <v>9</v>
      </c>
      <c r="S16">
        <v>12</v>
      </c>
      <c r="U16">
        <v>8</v>
      </c>
      <c r="V16">
        <v>1.62</v>
      </c>
    </row>
    <row r="17" spans="1:22" x14ac:dyDescent="0.25">
      <c r="A17">
        <f t="shared" si="3"/>
        <v>10.8</v>
      </c>
      <c r="B17">
        <f t="shared" si="4"/>
        <v>0.71</v>
      </c>
      <c r="O17">
        <f t="shared" si="2"/>
        <v>14</v>
      </c>
      <c r="P17">
        <v>7.6</v>
      </c>
      <c r="R17">
        <v>11</v>
      </c>
      <c r="S17">
        <v>5.7</v>
      </c>
      <c r="U17">
        <v>9.1999999999999993</v>
      </c>
      <c r="V17">
        <v>1.03</v>
      </c>
    </row>
    <row r="18" spans="1:22" x14ac:dyDescent="0.25">
      <c r="A18">
        <f t="shared" si="3"/>
        <v>12.8</v>
      </c>
      <c r="B18">
        <f t="shared" si="4"/>
        <v>0.36</v>
      </c>
      <c r="O18">
        <f t="shared" si="2"/>
        <v>15</v>
      </c>
      <c r="P18">
        <v>1.9</v>
      </c>
      <c r="R18">
        <v>13</v>
      </c>
      <c r="S18">
        <v>2.2000000000000002</v>
      </c>
      <c r="U18">
        <v>10.8</v>
      </c>
      <c r="V18">
        <v>0.71</v>
      </c>
    </row>
    <row r="19" spans="1:22" x14ac:dyDescent="0.25">
      <c r="A19">
        <f t="shared" si="3"/>
        <v>16.8</v>
      </c>
      <c r="B19">
        <f t="shared" si="4"/>
        <v>0.12</v>
      </c>
      <c r="O19">
        <f t="shared" si="2"/>
        <v>16</v>
      </c>
      <c r="P19">
        <v>0.38</v>
      </c>
      <c r="R19">
        <v>15</v>
      </c>
      <c r="S19">
        <v>0.98</v>
      </c>
      <c r="U19">
        <v>12.8</v>
      </c>
      <c r="V19">
        <v>0.36</v>
      </c>
    </row>
    <row r="20" spans="1:22" x14ac:dyDescent="0.25">
      <c r="A20">
        <f t="shared" si="3"/>
        <v>20.8</v>
      </c>
      <c r="B20">
        <f t="shared" si="4"/>
        <v>3.4000000000000002E-2</v>
      </c>
      <c r="O20">
        <f t="shared" si="2"/>
        <v>17</v>
      </c>
      <c r="P20">
        <v>9.5000000000000001E-2</v>
      </c>
      <c r="R20">
        <v>17</v>
      </c>
      <c r="S20">
        <v>0.43</v>
      </c>
      <c r="U20">
        <v>16.8</v>
      </c>
      <c r="V20">
        <v>0.12</v>
      </c>
    </row>
    <row r="21" spans="1:22" x14ac:dyDescent="0.25">
      <c r="A21">
        <f t="shared" si="3"/>
        <v>24</v>
      </c>
      <c r="B21">
        <f t="shared" si="4"/>
        <v>1E-3</v>
      </c>
      <c r="O21">
        <f t="shared" si="2"/>
        <v>18</v>
      </c>
      <c r="P21">
        <v>1.9E-3</v>
      </c>
      <c r="R21">
        <v>19</v>
      </c>
      <c r="S21">
        <v>0.16</v>
      </c>
      <c r="U21">
        <v>20.8</v>
      </c>
      <c r="V21">
        <v>3.4000000000000002E-2</v>
      </c>
    </row>
    <row r="22" spans="1:22" x14ac:dyDescent="0.25">
      <c r="A22" t="str">
        <f t="shared" si="3"/>
        <v/>
      </c>
      <c r="B22" t="str">
        <f t="shared" si="4"/>
        <v/>
      </c>
      <c r="R22">
        <v>21</v>
      </c>
      <c r="S22">
        <v>7.0000000000000007E-2</v>
      </c>
      <c r="U22">
        <v>24</v>
      </c>
      <c r="V22">
        <v>1E-3</v>
      </c>
    </row>
    <row r="23" spans="1:22" x14ac:dyDescent="0.25">
      <c r="A23" t="str">
        <f t="shared" si="3"/>
        <v/>
      </c>
      <c r="B23" t="str">
        <f t="shared" si="4"/>
        <v/>
      </c>
      <c r="R23">
        <v>23</v>
      </c>
      <c r="S23">
        <v>0.03</v>
      </c>
    </row>
    <row r="24" spans="1:22" x14ac:dyDescent="0.25">
      <c r="R24">
        <v>25</v>
      </c>
      <c r="S24">
        <v>0.01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Berenguer Sabater</cp:lastModifiedBy>
  <dcterms:created xsi:type="dcterms:W3CDTF">2015-06-05T18:19:34Z</dcterms:created>
  <dcterms:modified xsi:type="dcterms:W3CDTF">2026-07-06T17:11:34Z</dcterms:modified>
</cp:coreProperties>
</file>